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Desktop\UTM学习\07_小论文\01_一作的论文\第二篇\4. 原始数据\SE_MDTCN_all_20251126\table results\"/>
    </mc:Choice>
  </mc:AlternateContent>
  <xr:revisionPtr revIDLastSave="0" documentId="13_ncr:1_{BF67A14C-C18D-4000-8237-554886819BA5}" xr6:coauthVersionLast="47" xr6:coauthVersionMax="47" xr10:uidLastSave="{00000000-0000-0000-0000-000000000000}"/>
  <bookViews>
    <workbookView xWindow="-28920" yWindow="-120" windowWidth="29040" windowHeight="15840" activeTab="2" xr2:uid="{00000000-000D-0000-FFFF-FFFF00000000}"/>
  </bookViews>
  <sheets>
    <sheet name="Train_means" sheetId="1" r:id="rId1"/>
    <sheet name="Train_wilcoxon" sheetId="2" r:id="rId2"/>
    <sheet name="Test_means" sheetId="3" r:id="rId3"/>
    <sheet name="Test_wilcoxo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3" l="1"/>
  <c r="D3" i="3"/>
  <c r="D4" i="3"/>
  <c r="D5" i="3"/>
  <c r="D6" i="3"/>
  <c r="D7" i="3"/>
  <c r="D8" i="3"/>
</calcChain>
</file>

<file path=xl/sharedStrings.xml><?xml version="1.0" encoding="utf-8"?>
<sst xmlns="http://schemas.openxmlformats.org/spreadsheetml/2006/main" count="63" uniqueCount="20">
  <si>
    <t>mean_accuracy</t>
  </si>
  <si>
    <t>std_accuracy</t>
  </si>
  <si>
    <t>SE_MDTCN_RAW</t>
  </si>
  <si>
    <t>SE_MDTCN_CLEAN</t>
  </si>
  <si>
    <t>Tsception</t>
  </si>
  <si>
    <t>EEGConformer</t>
  </si>
  <si>
    <t>EEGNet</t>
  </si>
  <si>
    <t>EEGTCNet</t>
  </si>
  <si>
    <t>HS_STDCN</t>
  </si>
  <si>
    <t>baseline</t>
  </si>
  <si>
    <t>other</t>
  </si>
  <si>
    <t>n_pairs</t>
  </si>
  <si>
    <t>mean_baseline</t>
  </si>
  <si>
    <t>mean_other</t>
  </si>
  <si>
    <t>mean_diff(baseline-other)</t>
  </si>
  <si>
    <t>W_stat</t>
  </si>
  <si>
    <t>p_value</t>
  </si>
  <si>
    <t>p_bonferroni</t>
  </si>
  <si>
    <t>reject_bonf_0.05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</si>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</sst>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>
      <selection activeCell="F4" sqref="F4"/>
    </sheetView>
  </sheetViews>
  <sheetFormatPr defaultRowHeight="15" x14ac:dyDescent="0.25"/>
  <cols>
    <col min="1" max="1" width="34.7109375" customWidth="1"/>
    <col min="2" max="3" width="9.140625" style="3"/>
  </cols>
  <sheetData>
    <row r="1" spans="1:3" x14ac:dyDescent="0.25">
      <c r="B1" s="2" t="s">
        <v>0</v>
      </c>
      <c r="C1" s="2" t="s">
        <v>1</v>
      </c>
    </row>
    <row r="2" spans="1:3" x14ac:dyDescent="0.25">
      <c r="A2" s="1" t="s">
        <v>2</v>
      </c>
      <c r="B2" s="3">
        <v>0.78111111111111065</v>
      </c>
      <c r="C2" s="3">
        <v>6.8192848233994061E-2</v>
      </c>
    </row>
    <row r="3" spans="1:3" x14ac:dyDescent="0.25">
      <c r="A3" s="1" t="s">
        <v>3</v>
      </c>
      <c r="B3" s="3">
        <v>0.7548888888888885</v>
      </c>
      <c r="C3" s="3">
        <v>6.3669118210924025E-2</v>
      </c>
    </row>
    <row r="4" spans="1:3" x14ac:dyDescent="0.25">
      <c r="A4" s="1" t="s">
        <v>4</v>
      </c>
      <c r="B4" s="3">
        <v>0.53266666666666618</v>
      </c>
      <c r="C4" s="3">
        <v>6.3034382152388269E-2</v>
      </c>
    </row>
    <row r="5" spans="1:3" x14ac:dyDescent="0.25">
      <c r="A5" s="1" t="s">
        <v>5</v>
      </c>
      <c r="B5" s="3">
        <v>0.44444444444444409</v>
      </c>
      <c r="C5" s="3">
        <v>3.9008885163422977E-2</v>
      </c>
    </row>
    <row r="6" spans="1:3" x14ac:dyDescent="0.25">
      <c r="A6" s="1" t="s">
        <v>6</v>
      </c>
      <c r="B6" s="3">
        <v>0.3951111111111108</v>
      </c>
      <c r="C6" s="3">
        <v>3.2092788753037498E-2</v>
      </c>
    </row>
    <row r="7" spans="1:3" x14ac:dyDescent="0.25">
      <c r="A7" s="1" t="s">
        <v>7</v>
      </c>
      <c r="B7" s="3">
        <v>0.38999999999999968</v>
      </c>
      <c r="C7" s="3">
        <v>2.8867513459481249E-2</v>
      </c>
    </row>
    <row r="8" spans="1:3" x14ac:dyDescent="0.25">
      <c r="A8" s="1" t="s">
        <v>8</v>
      </c>
      <c r="B8" s="3">
        <v>0.35533333333333278</v>
      </c>
      <c r="C8" s="3">
        <v>2.0770858707058221E-2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"/>
  <sheetViews>
    <sheetView workbookViewId="0"/>
  </sheetViews>
  <sheetFormatPr defaultRowHeight="15" x14ac:dyDescent="0.25"/>
  <sheetData>
    <row r="1" spans="1:10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</row>
    <row r="2" spans="1:10" x14ac:dyDescent="0.25">
      <c r="A2" t="s">
        <v>2</v>
      </c>
      <c r="B2" t="s">
        <v>5</v>
      </c>
      <c r="C2">
        <v>15</v>
      </c>
      <c r="D2">
        <v>0.78111111111111065</v>
      </c>
      <c r="E2">
        <v>0.44444444444444409</v>
      </c>
      <c r="F2">
        <v>0.3366666666666665</v>
      </c>
      <c r="G2">
        <v>120</v>
      </c>
      <c r="H2">
        <v>3.0517578125E-5</v>
      </c>
      <c r="I2">
        <v>1.8310546875E-4</v>
      </c>
      <c r="J2" t="b">
        <v>1</v>
      </c>
    </row>
    <row r="3" spans="1:10" x14ac:dyDescent="0.25">
      <c r="A3" t="s">
        <v>2</v>
      </c>
      <c r="B3" t="s">
        <v>8</v>
      </c>
      <c r="C3">
        <v>15</v>
      </c>
      <c r="D3">
        <v>0.78111111111111065</v>
      </c>
      <c r="E3">
        <v>0.35533333333333278</v>
      </c>
      <c r="F3">
        <v>0.42577777777777792</v>
      </c>
      <c r="G3">
        <v>120</v>
      </c>
      <c r="H3">
        <v>3.0517578125E-5</v>
      </c>
      <c r="I3">
        <v>1.8310546875E-4</v>
      </c>
      <c r="J3" t="b">
        <v>1</v>
      </c>
    </row>
    <row r="4" spans="1:10" x14ac:dyDescent="0.25">
      <c r="A4" t="s">
        <v>2</v>
      </c>
      <c r="B4" t="s">
        <v>4</v>
      </c>
      <c r="C4">
        <v>15</v>
      </c>
      <c r="D4">
        <v>0.78111111111111065</v>
      </c>
      <c r="E4">
        <v>0.53266666666666618</v>
      </c>
      <c r="F4">
        <v>0.2484444444444445</v>
      </c>
      <c r="G4">
        <v>120</v>
      </c>
      <c r="H4">
        <v>3.0517578125E-5</v>
      </c>
      <c r="I4">
        <v>1.8310546875E-4</v>
      </c>
      <c r="J4" t="b">
        <v>1</v>
      </c>
    </row>
    <row r="5" spans="1:10" x14ac:dyDescent="0.25">
      <c r="A5" t="s">
        <v>2</v>
      </c>
      <c r="B5" t="s">
        <v>6</v>
      </c>
      <c r="C5">
        <v>15</v>
      </c>
      <c r="D5">
        <v>0.78111111111111065</v>
      </c>
      <c r="E5">
        <v>0.3951111111111108</v>
      </c>
      <c r="F5">
        <v>0.3859999999999999</v>
      </c>
      <c r="G5">
        <v>120</v>
      </c>
      <c r="H5">
        <v>3.2665539070756881E-4</v>
      </c>
      <c r="I5">
        <v>1.9599323442454132E-3</v>
      </c>
      <c r="J5" t="b">
        <v>1</v>
      </c>
    </row>
    <row r="6" spans="1:10" x14ac:dyDescent="0.25">
      <c r="A6" t="s">
        <v>2</v>
      </c>
      <c r="B6" t="s">
        <v>7</v>
      </c>
      <c r="C6">
        <v>15</v>
      </c>
      <c r="D6">
        <v>0.78111111111111065</v>
      </c>
      <c r="E6">
        <v>0.38999999999999968</v>
      </c>
      <c r="F6">
        <v>0.39111111111111108</v>
      </c>
      <c r="G6">
        <v>120</v>
      </c>
      <c r="H6">
        <v>3.2665539070756881E-4</v>
      </c>
      <c r="I6">
        <v>1.9599323442454132E-3</v>
      </c>
      <c r="J6" t="b">
        <v>1</v>
      </c>
    </row>
    <row r="7" spans="1:10" x14ac:dyDescent="0.25">
      <c r="A7" t="s">
        <v>2</v>
      </c>
      <c r="B7" t="s">
        <v>3</v>
      </c>
      <c r="C7">
        <v>15</v>
      </c>
      <c r="D7">
        <v>0.78111111111111065</v>
      </c>
      <c r="E7">
        <v>0.7548888888888885</v>
      </c>
      <c r="F7">
        <v>2.622222222222207E-2</v>
      </c>
      <c r="G7">
        <v>115</v>
      </c>
      <c r="H7">
        <v>8.8696874668318156E-4</v>
      </c>
      <c r="I7">
        <v>5.3218124800990894E-3</v>
      </c>
      <c r="J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"/>
  <sheetViews>
    <sheetView tabSelected="1" workbookViewId="0">
      <selection activeCell="D2" sqref="D2"/>
    </sheetView>
  </sheetViews>
  <sheetFormatPr defaultRowHeight="15" x14ac:dyDescent="0.25"/>
  <cols>
    <col min="1" max="1" width="32.5703125" customWidth="1"/>
    <col min="2" max="3" width="9.140625" style="3"/>
    <col min="4" max="4" width="9.140625" style="4"/>
  </cols>
  <sheetData>
    <row r="1" spans="1:4" x14ac:dyDescent="0.25">
      <c r="B1" s="2" t="s">
        <v>0</v>
      </c>
      <c r="C1" s="2" t="s">
        <v>1</v>
      </c>
      <c r="D1" s="4" t="s">
        <v>19</v>
      </c>
    </row>
    <row r="2" spans="1:4" x14ac:dyDescent="0.25">
      <c r="A2" s="1" t="s">
        <v>2</v>
      </c>
      <c r="B2" s="3">
        <v>0.74399999999999977</v>
      </c>
      <c r="C2" s="3">
        <v>8.4667416569607357E-2</v>
      </c>
      <c r="D2" s="4">
        <f>(B2-0.2)/(1-0.2)</f>
        <v>0.67999999999999972</v>
      </c>
    </row>
    <row r="3" spans="1:4" x14ac:dyDescent="0.25">
      <c r="A3" s="1" t="s">
        <v>3</v>
      </c>
      <c r="B3" s="3">
        <v>0.69933333333333336</v>
      </c>
      <c r="C3" s="3">
        <v>8.4723640373246784E-2</v>
      </c>
      <c r="D3" s="4">
        <f t="shared" ref="D2:D7" si="0">(B3-0.2)/(1-0.2)</f>
        <v>0.62416666666666665</v>
      </c>
    </row>
    <row r="4" spans="1:4" x14ac:dyDescent="0.25">
      <c r="A4" s="1" t="s">
        <v>4</v>
      </c>
      <c r="B4" s="3">
        <v>0.43666666666666643</v>
      </c>
      <c r="C4" s="3">
        <v>7.7336617335854424E-2</v>
      </c>
      <c r="D4" s="4">
        <f t="shared" si="0"/>
        <v>0.295833333333333</v>
      </c>
    </row>
    <row r="5" spans="1:4" x14ac:dyDescent="0.25">
      <c r="A5" s="1" t="s">
        <v>5</v>
      </c>
      <c r="B5" s="3">
        <v>0.35466666666666619</v>
      </c>
      <c r="C5" s="3">
        <v>5.9144697463891359E-2</v>
      </c>
      <c r="D5" s="4">
        <f t="shared" si="0"/>
        <v>0.19333333333333272</v>
      </c>
    </row>
    <row r="6" spans="1:4" x14ac:dyDescent="0.25">
      <c r="A6" s="1" t="s">
        <v>6</v>
      </c>
      <c r="B6" s="3">
        <v>0.30466666666666647</v>
      </c>
      <c r="C6" s="3">
        <v>5.7677262995626442E-2</v>
      </c>
      <c r="D6" s="4">
        <f t="shared" si="0"/>
        <v>0.13083333333333308</v>
      </c>
    </row>
    <row r="7" spans="1:4" x14ac:dyDescent="0.25">
      <c r="A7" s="1" t="s">
        <v>7</v>
      </c>
      <c r="B7" s="3">
        <v>0.28933333333333311</v>
      </c>
      <c r="C7" s="3">
        <v>5.7627704977314308E-2</v>
      </c>
      <c r="D7" s="4">
        <f t="shared" si="0"/>
        <v>0.11166666666666637</v>
      </c>
    </row>
    <row r="8" spans="1:4" x14ac:dyDescent="0.25">
      <c r="A8" s="1" t="s">
        <v>8</v>
      </c>
      <c r="B8" s="3">
        <v>0.2366666666666663</v>
      </c>
      <c r="C8" s="3">
        <v>4.5773770821706382E-2</v>
      </c>
      <c r="D8" s="4">
        <f>(B8-0.2)/(1-0.2)</f>
        <v>4.5833333333332865E-2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7"/>
  <sheetViews>
    <sheetView workbookViewId="0"/>
  </sheetViews>
  <sheetFormatPr defaultRowHeight="15" x14ac:dyDescent="0.25"/>
  <sheetData>
    <row r="1" spans="1:10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</row>
    <row r="2" spans="1:10" x14ac:dyDescent="0.25">
      <c r="A2" t="s">
        <v>2</v>
      </c>
      <c r="B2" t="s">
        <v>6</v>
      </c>
      <c r="C2">
        <v>15</v>
      </c>
      <c r="D2">
        <v>0.74399999999999977</v>
      </c>
      <c r="E2">
        <v>0.30466666666666647</v>
      </c>
      <c r="F2">
        <v>0.43933333333333352</v>
      </c>
      <c r="G2">
        <v>120</v>
      </c>
      <c r="H2">
        <v>3.0517578125E-5</v>
      </c>
      <c r="I2">
        <v>1.8310546875E-4</v>
      </c>
      <c r="J2" t="b">
        <v>1</v>
      </c>
    </row>
    <row r="3" spans="1:10" x14ac:dyDescent="0.25">
      <c r="A3" t="s">
        <v>2</v>
      </c>
      <c r="B3" t="s">
        <v>5</v>
      </c>
      <c r="C3">
        <v>15</v>
      </c>
      <c r="D3">
        <v>0.74399999999999977</v>
      </c>
      <c r="E3">
        <v>0.35466666666666619</v>
      </c>
      <c r="F3">
        <v>0.38933333333333359</v>
      </c>
      <c r="G3">
        <v>120</v>
      </c>
      <c r="H3">
        <v>3.0517578125E-5</v>
      </c>
      <c r="I3">
        <v>1.8310546875E-4</v>
      </c>
      <c r="J3" t="b">
        <v>1</v>
      </c>
    </row>
    <row r="4" spans="1:10" x14ac:dyDescent="0.25">
      <c r="A4" t="s">
        <v>2</v>
      </c>
      <c r="B4" t="s">
        <v>4</v>
      </c>
      <c r="C4">
        <v>15</v>
      </c>
      <c r="D4">
        <v>0.74399999999999977</v>
      </c>
      <c r="E4">
        <v>0.43666666666666643</v>
      </c>
      <c r="F4">
        <v>0.30733333333333351</v>
      </c>
      <c r="G4">
        <v>120</v>
      </c>
      <c r="H4">
        <v>3.2583304030695562E-4</v>
      </c>
      <c r="I4">
        <v>1.954998241841734E-3</v>
      </c>
      <c r="J4" t="b">
        <v>1</v>
      </c>
    </row>
    <row r="5" spans="1:10" x14ac:dyDescent="0.25">
      <c r="A5" t="s">
        <v>2</v>
      </c>
      <c r="B5" t="s">
        <v>7</v>
      </c>
      <c r="C5">
        <v>15</v>
      </c>
      <c r="D5">
        <v>0.74399999999999977</v>
      </c>
      <c r="E5">
        <v>0.28933333333333311</v>
      </c>
      <c r="F5">
        <v>0.45466666666666689</v>
      </c>
      <c r="G5">
        <v>120</v>
      </c>
      <c r="H5">
        <v>3.2665539070756881E-4</v>
      </c>
      <c r="I5">
        <v>1.9599323442454132E-3</v>
      </c>
      <c r="J5" t="b">
        <v>1</v>
      </c>
    </row>
    <row r="6" spans="1:10" x14ac:dyDescent="0.25">
      <c r="A6" t="s">
        <v>2</v>
      </c>
      <c r="B6" t="s">
        <v>8</v>
      </c>
      <c r="C6">
        <v>15</v>
      </c>
      <c r="D6">
        <v>0.74399999999999977</v>
      </c>
      <c r="E6">
        <v>0.2366666666666663</v>
      </c>
      <c r="F6">
        <v>0.50733333333333364</v>
      </c>
      <c r="G6">
        <v>120</v>
      </c>
      <c r="H6">
        <v>3.2665539070756881E-4</v>
      </c>
      <c r="I6">
        <v>1.9599323442454132E-3</v>
      </c>
      <c r="J6" t="b">
        <v>1</v>
      </c>
    </row>
    <row r="7" spans="1:10" x14ac:dyDescent="0.25">
      <c r="A7" t="s">
        <v>2</v>
      </c>
      <c r="B7" t="s">
        <v>3</v>
      </c>
      <c r="C7">
        <v>15</v>
      </c>
      <c r="D7">
        <v>0.74399999999999977</v>
      </c>
      <c r="E7">
        <v>0.69933333333333336</v>
      </c>
      <c r="F7">
        <v>4.4666666666666667E-2</v>
      </c>
      <c r="G7">
        <v>90</v>
      </c>
      <c r="H7">
        <v>9.3271230715278328E-4</v>
      </c>
      <c r="I7">
        <v>5.5962738429166997E-3</v>
      </c>
      <c r="J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Train_means</vt:lpstr>
      <vt:lpstr>Train_wilcoxon</vt:lpstr>
      <vt:lpstr>Test_means</vt:lpstr>
      <vt:lpstr>Test_wilcoxon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傅杰 邱</cp:lastModifiedBy>
  <dcterms:created xsi:type="dcterms:W3CDTF">2026-02-10T13:48:14Z</dcterms:created>
  <dcterms:modified xsi:type="dcterms:W3CDTF">2026-02-10T13:54:32Z</dcterms:modified>
</cp:coreProperties>
</file>